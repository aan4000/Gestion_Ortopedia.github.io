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Catálogo" sheetId="2" state="visible" r:id="rId4"/>
    <sheet name="Resumen" sheetId="3" state="visible" r:id="rId5"/>
  </sheets>
  <definedNames>
    <definedName function="false" hidden="true" localSheetId="1" name="_xlnm._FilterDatabase" vbProcedure="false">Catálogo!$A$1:$I$54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<sst xmlns="http://schemas.openxmlformats.org/spreadsheetml/2006/main" count="236" uniqueCount="151">
  <si>
    <t xml:space="preserve">Cómo usar este catálogo</t>
  </si>
  <si>
    <t xml:space="preserve">• Las columnas en amarillo (Concentración, Forma farmacéutica, Laboratorio local / fabricante, Registro DIGEMAPS) están en blanco para que las completes.</t>
  </si>
  <si>
    <t xml:space="preserve">• Ejemplo de llenado: Concentración = 50 mg | Forma = Tableta | Laboratorio local = (según el registro) | Registro DIGEMAPS = (número del registro sanitario).</t>
  </si>
  <si>
    <t xml:space="preserve">• Usa los filtros del encabezado para buscar por categoría, genérico o marca.</t>
  </si>
  <si>
    <t xml:space="preserve">Aclaraciones importantes</t>
  </si>
  <si>
    <t xml:space="preserve">• El Colegio Médico Dominicano (CMD) es un gremio profesional y no aprueba medicamentos ni laboratorios.</t>
  </si>
  <si>
    <t xml:space="preserve">• El registro sanitario lo otorga DIGEMAPS (Ministerio de Salud Pública). Confirma allí el estatus vigente en 2026.</t>
  </si>
  <si>
    <t xml:space="preserve">• Cobertura y precios de referencia: Cuadro Básico de Medicamentos Esenciales, PROMESE/CAL y SeNaSa.</t>
  </si>
  <si>
    <t xml:space="preserve">• Las marcas y laboratorios son referencias generales de originadores internacionales, de conocimiento general y no verificadas contra el registro local. Puede haber marcas locales no listadas.</t>
  </si>
  <si>
    <t xml:space="preserve">• Documento informativo; no sustituye la prescripción médica.</t>
  </si>
  <si>
    <t xml:space="preserve">Categoría</t>
  </si>
  <si>
    <t xml:space="preserve">Genérico (DCI)</t>
  </si>
  <si>
    <t xml:space="preserve">Marca comercial</t>
  </si>
  <si>
    <t xml:space="preserve">Laboratorio (originador)</t>
  </si>
  <si>
    <t xml:space="preserve">Concentración</t>
  </si>
  <si>
    <t xml:space="preserve">Forma farmacéutica</t>
  </si>
  <si>
    <t xml:space="preserve">Laboratorio local / fabricante</t>
  </si>
  <si>
    <t xml:space="preserve">Registro DIGEMAPS</t>
  </si>
  <si>
    <t xml:space="preserve">Notas</t>
  </si>
  <si>
    <t xml:space="preserve">AINE</t>
  </si>
  <si>
    <t xml:space="preserve">Diclofenaco</t>
  </si>
  <si>
    <t xml:space="preserve">Voltaren</t>
  </si>
  <si>
    <t xml:space="preserve">Novartis / Haleon</t>
  </si>
  <si>
    <t xml:space="preserve">Cataflam</t>
  </si>
  <si>
    <t xml:space="preserve">Novartis</t>
  </si>
  <si>
    <t xml:space="preserve">Ibuprofeno</t>
  </si>
  <si>
    <t xml:space="preserve">Advil</t>
  </si>
  <si>
    <t xml:space="preserve">Haleon</t>
  </si>
  <si>
    <t xml:space="preserve">Motrin</t>
  </si>
  <si>
    <t xml:space="preserve">Naproxeno</t>
  </si>
  <si>
    <t xml:space="preserve">Naprosyn</t>
  </si>
  <si>
    <t xml:space="preserve">Roche</t>
  </si>
  <si>
    <t xml:space="preserve">Flanax</t>
  </si>
  <si>
    <t xml:space="preserve">Bayer</t>
  </si>
  <si>
    <t xml:space="preserve">Meloxicam</t>
  </si>
  <si>
    <t xml:space="preserve">Mobic</t>
  </si>
  <si>
    <t xml:space="preserve">Boehringer Ingelheim</t>
  </si>
  <si>
    <t xml:space="preserve">Celecoxib</t>
  </si>
  <si>
    <t xml:space="preserve">Celebrex</t>
  </si>
  <si>
    <t xml:space="preserve">Pfizer</t>
  </si>
  <si>
    <t xml:space="preserve">Etoricoxib</t>
  </si>
  <si>
    <t xml:space="preserve">Arcoxia</t>
  </si>
  <si>
    <t xml:space="preserve">MSD</t>
  </si>
  <si>
    <t xml:space="preserve">Ketorolaco</t>
  </si>
  <si>
    <t xml:space="preserve">Toradol</t>
  </si>
  <si>
    <t xml:space="preserve">Ketoprofeno</t>
  </si>
  <si>
    <t xml:space="preserve">Profenid</t>
  </si>
  <si>
    <t xml:space="preserve">Sanofi</t>
  </si>
  <si>
    <t xml:space="preserve">Dexketoprofeno</t>
  </si>
  <si>
    <t xml:space="preserve">Enantyum</t>
  </si>
  <si>
    <t xml:space="preserve">Menarini</t>
  </si>
  <si>
    <t xml:space="preserve">Piroxicam</t>
  </si>
  <si>
    <t xml:space="preserve">Feldene</t>
  </si>
  <si>
    <t xml:space="preserve">Nimesulida</t>
  </si>
  <si>
    <t xml:space="preserve">Nisulid y otras</t>
  </si>
  <si>
    <t xml:space="preserve">Varias marcas</t>
  </si>
  <si>
    <t xml:space="preserve">Analgésico</t>
  </si>
  <si>
    <t xml:space="preserve">Paracetamol (acetaminofén)</t>
  </si>
  <si>
    <t xml:space="preserve">Tylenol</t>
  </si>
  <si>
    <t xml:space="preserve">Kenvue</t>
  </si>
  <si>
    <t xml:space="preserve">Panadol</t>
  </si>
  <si>
    <t xml:space="preserve">Metamizol (dipirona)</t>
  </si>
  <si>
    <t xml:space="preserve">Novalgina</t>
  </si>
  <si>
    <t xml:space="preserve">Tramadol</t>
  </si>
  <si>
    <t xml:space="preserve">Tramal</t>
  </si>
  <si>
    <t xml:space="preserve">Grünenthal</t>
  </si>
  <si>
    <t xml:space="preserve">Tramadol + paracetamol</t>
  </si>
  <si>
    <t xml:space="preserve">Zaldiar</t>
  </si>
  <si>
    <t xml:space="preserve">Tapentadol</t>
  </si>
  <si>
    <t xml:space="preserve">Palexia</t>
  </si>
  <si>
    <t xml:space="preserve">Sustancia controlada</t>
  </si>
  <si>
    <t xml:space="preserve">Relajante muscular</t>
  </si>
  <si>
    <t xml:space="preserve">Ciclobenzaprina</t>
  </si>
  <si>
    <t xml:space="preserve">Flexeril y genéricos</t>
  </si>
  <si>
    <t xml:space="preserve">Tizanidina</t>
  </si>
  <si>
    <t xml:space="preserve">Sirdalud</t>
  </si>
  <si>
    <t xml:space="preserve">Carisoprodol</t>
  </si>
  <si>
    <t xml:space="preserve">Soma y combinaciones con AINE</t>
  </si>
  <si>
    <t xml:space="preserve">Metocarbamol</t>
  </si>
  <si>
    <t xml:space="preserve">Robaxin</t>
  </si>
  <si>
    <t xml:space="preserve">Tiocolchicósido</t>
  </si>
  <si>
    <t xml:space="preserve">Muscoril</t>
  </si>
  <si>
    <t xml:space="preserve">Dolor neuropático / adyuvante</t>
  </si>
  <si>
    <t xml:space="preserve">Pregabalina</t>
  </si>
  <si>
    <t xml:space="preserve">Lyrica</t>
  </si>
  <si>
    <t xml:space="preserve">Gabapentina</t>
  </si>
  <si>
    <t xml:space="preserve">Neurontin</t>
  </si>
  <si>
    <t xml:space="preserve">Duloxetina</t>
  </si>
  <si>
    <t xml:space="preserve">Cymbalta</t>
  </si>
  <si>
    <t xml:space="preserve">Lilly</t>
  </si>
  <si>
    <t xml:space="preserve">Complejo B (B1, B6, B12)</t>
  </si>
  <si>
    <t xml:space="preserve">Dolo-Neurobión</t>
  </si>
  <si>
    <t xml:space="preserve">Merck</t>
  </si>
  <si>
    <t xml:space="preserve">Corticoide</t>
  </si>
  <si>
    <t xml:space="preserve">Metilprednisolona</t>
  </si>
  <si>
    <t xml:space="preserve">Depo-Medrol</t>
  </si>
  <si>
    <t xml:space="preserve">Oral / infiltración</t>
  </si>
  <si>
    <t xml:space="preserve">Betametasona</t>
  </si>
  <si>
    <t xml:space="preserve">Celestone</t>
  </si>
  <si>
    <t xml:space="preserve">Organon</t>
  </si>
  <si>
    <t xml:space="preserve">Triamcinolona</t>
  </si>
  <si>
    <t xml:space="preserve">Kenacort</t>
  </si>
  <si>
    <t xml:space="preserve">BMS</t>
  </si>
  <si>
    <t xml:space="preserve">Dexametasona</t>
  </si>
  <si>
    <t xml:space="preserve">Decadron y genéricos</t>
  </si>
  <si>
    <t xml:space="preserve">Prednisona</t>
  </si>
  <si>
    <t xml:space="preserve">Genéricos</t>
  </si>
  <si>
    <t xml:space="preserve">Oral</t>
  </si>
  <si>
    <t xml:space="preserve">Condroprotector / viscosuplementación</t>
  </si>
  <si>
    <t xml:space="preserve">Glucosamina, condroitina</t>
  </si>
  <si>
    <t xml:space="preserve">Múltiples marcas y genéricos</t>
  </si>
  <si>
    <t xml:space="preserve">Diacereína</t>
  </si>
  <si>
    <t xml:space="preserve">Artrodar</t>
  </si>
  <si>
    <t xml:space="preserve">TRB</t>
  </si>
  <si>
    <t xml:space="preserve">Ácido hialurónico intraarticular</t>
  </si>
  <si>
    <t xml:space="preserve">Algunas registradas como dispositivo médico</t>
  </si>
  <si>
    <t xml:space="preserve">Colágeno tipo II</t>
  </si>
  <si>
    <t xml:space="preserve">Suplementos</t>
  </si>
  <si>
    <t xml:space="preserve">Osteoporosis / metabolismo óseo</t>
  </si>
  <si>
    <t xml:space="preserve">Alendronato</t>
  </si>
  <si>
    <t xml:space="preserve">Fosamax</t>
  </si>
  <si>
    <t xml:space="preserve">Ácido zoledrónico</t>
  </si>
  <si>
    <t xml:space="preserve">Aclasta</t>
  </si>
  <si>
    <t xml:space="preserve">Denosumab</t>
  </si>
  <si>
    <t xml:space="preserve">Prolia</t>
  </si>
  <si>
    <t xml:space="preserve">Amgen</t>
  </si>
  <si>
    <t xml:space="preserve">Teriparatida</t>
  </si>
  <si>
    <t xml:space="preserve">Forteo</t>
  </si>
  <si>
    <t xml:space="preserve">Raloxifeno</t>
  </si>
  <si>
    <t xml:space="preserve">Evista</t>
  </si>
  <si>
    <t xml:space="preserve">Calcio + vitamina D3</t>
  </si>
  <si>
    <t xml:space="preserve">Múltiples</t>
  </si>
  <si>
    <t xml:space="preserve">Tópico</t>
  </si>
  <si>
    <t xml:space="preserve">Diclofenaco gel</t>
  </si>
  <si>
    <t xml:space="preserve">Múltiples marcas locales e importadas</t>
  </si>
  <si>
    <t xml:space="preserve">Ketoprofeno gel</t>
  </si>
  <si>
    <t xml:space="preserve">Piroxicam gel</t>
  </si>
  <si>
    <t xml:space="preserve">Etofenamato</t>
  </si>
  <si>
    <t xml:space="preserve">Tromboprofilaxis postoperatoria</t>
  </si>
  <si>
    <t xml:space="preserve">Enoxaparina</t>
  </si>
  <si>
    <t xml:space="preserve">Clexane</t>
  </si>
  <si>
    <t xml:space="preserve">Rivaroxabán</t>
  </si>
  <si>
    <t xml:space="preserve">Xarelto</t>
  </si>
  <si>
    <t xml:space="preserve">Gota</t>
  </si>
  <si>
    <t xml:space="preserve">Colchicina</t>
  </si>
  <si>
    <t xml:space="preserve">Alopurinol</t>
  </si>
  <si>
    <t xml:space="preserve">Febuxostato</t>
  </si>
  <si>
    <t xml:space="preserve">Adenuric</t>
  </si>
  <si>
    <t xml:space="preserve">Total de registros:</t>
  </si>
  <si>
    <t xml:space="preserve">N.º de presentaciones listadas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</si>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</sst>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36"/>
  </cols>
  <sheetData>
    <row r="1" customFormat="false" ht="31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customFormat="false" ht="1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5"/>
      <c r="F2" s="5"/>
      <c r="G2" s="5"/>
      <c r="H2" s="5"/>
      <c r="I2" s="4"/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23</v>
      </c>
      <c r="D3" s="4" t="s">
        <v>24</v>
      </c>
      <c r="E3" s="5"/>
      <c r="F3" s="5"/>
      <c r="G3" s="5"/>
      <c r="H3" s="5"/>
      <c r="I3" s="4"/>
    </row>
    <row r="4" customFormat="false" ht="15" hidden="false" customHeight="false" outlineLevel="0" collapsed="false">
      <c r="A4" s="4" t="s">
        <v>19</v>
      </c>
      <c r="B4" s="4" t="s">
        <v>25</v>
      </c>
      <c r="C4" s="4" t="s">
        <v>26</v>
      </c>
      <c r="D4" s="4" t="s">
        <v>27</v>
      </c>
      <c r="E4" s="5"/>
      <c r="F4" s="5"/>
      <c r="G4" s="5"/>
      <c r="H4" s="5"/>
      <c r="I4" s="4"/>
    </row>
    <row r="5" customFormat="false" ht="15" hidden="false" customHeight="false" outlineLevel="0" collapsed="false">
      <c r="A5" s="4" t="s">
        <v>19</v>
      </c>
      <c r="B5" s="4" t="s">
        <v>25</v>
      </c>
      <c r="C5" s="4" t="s">
        <v>28</v>
      </c>
      <c r="D5" s="4"/>
      <c r="E5" s="5"/>
      <c r="F5" s="5"/>
      <c r="G5" s="5"/>
      <c r="H5" s="5"/>
      <c r="I5" s="4"/>
    </row>
    <row r="6" customFormat="false" ht="15" hidden="false" customHeight="false" outlineLevel="0" collapsed="false">
      <c r="A6" s="4" t="s">
        <v>19</v>
      </c>
      <c r="B6" s="4" t="s">
        <v>29</v>
      </c>
      <c r="C6" s="4" t="s">
        <v>30</v>
      </c>
      <c r="D6" s="4" t="s">
        <v>31</v>
      </c>
      <c r="E6" s="5"/>
      <c r="F6" s="5"/>
      <c r="G6" s="5"/>
      <c r="H6" s="5"/>
      <c r="I6" s="4"/>
    </row>
    <row r="7" customFormat="false" ht="15" hidden="false" customHeight="false" outlineLevel="0" collapsed="false">
      <c r="A7" s="4" t="s">
        <v>19</v>
      </c>
      <c r="B7" s="4" t="s">
        <v>29</v>
      </c>
      <c r="C7" s="4" t="s">
        <v>32</v>
      </c>
      <c r="D7" s="4" t="s">
        <v>33</v>
      </c>
      <c r="E7" s="5"/>
      <c r="F7" s="5"/>
      <c r="G7" s="5"/>
      <c r="H7" s="5"/>
      <c r="I7" s="4"/>
    </row>
    <row r="8" customFormat="false" ht="15" hidden="false" customHeight="false" outlineLevel="0" collapsed="false">
      <c r="A8" s="4" t="s">
        <v>19</v>
      </c>
      <c r="B8" s="4" t="s">
        <v>34</v>
      </c>
      <c r="C8" s="4" t="s">
        <v>35</v>
      </c>
      <c r="D8" s="4" t="s">
        <v>36</v>
      </c>
      <c r="E8" s="5"/>
      <c r="F8" s="5"/>
      <c r="G8" s="5"/>
      <c r="H8" s="5"/>
      <c r="I8" s="4"/>
    </row>
    <row r="9" customFormat="false" ht="15" hidden="false" customHeight="false" outlineLevel="0" collapsed="false">
      <c r="A9" s="4" t="s">
        <v>19</v>
      </c>
      <c r="B9" s="4" t="s">
        <v>37</v>
      </c>
      <c r="C9" s="4" t="s">
        <v>38</v>
      </c>
      <c r="D9" s="4" t="s">
        <v>39</v>
      </c>
      <c r="E9" s="5"/>
      <c r="F9" s="5"/>
      <c r="G9" s="5"/>
      <c r="H9" s="5"/>
      <c r="I9" s="4"/>
    </row>
    <row r="10" customFormat="false" ht="15" hidden="false" customHeight="false" outlineLevel="0" collapsed="false">
      <c r="A10" s="4" t="s">
        <v>19</v>
      </c>
      <c r="B10" s="4" t="s">
        <v>40</v>
      </c>
      <c r="C10" s="4" t="s">
        <v>41</v>
      </c>
      <c r="D10" s="4" t="s">
        <v>42</v>
      </c>
      <c r="E10" s="5"/>
      <c r="F10" s="5"/>
      <c r="G10" s="5"/>
      <c r="H10" s="5"/>
      <c r="I10" s="4"/>
    </row>
    <row r="11" customFormat="false" ht="15" hidden="false" customHeight="false" outlineLevel="0" collapsed="false">
      <c r="A11" s="4" t="s">
        <v>19</v>
      </c>
      <c r="B11" s="4" t="s">
        <v>43</v>
      </c>
      <c r="C11" s="4" t="s">
        <v>44</v>
      </c>
      <c r="D11" s="4" t="s">
        <v>31</v>
      </c>
      <c r="E11" s="5"/>
      <c r="F11" s="5"/>
      <c r="G11" s="5"/>
      <c r="H11" s="5"/>
      <c r="I11" s="4"/>
    </row>
    <row r="12" customFormat="false" ht="15" hidden="false" customHeight="false" outlineLevel="0" collapsed="false">
      <c r="A12" s="4" t="s">
        <v>19</v>
      </c>
      <c r="B12" s="4" t="s">
        <v>45</v>
      </c>
      <c r="C12" s="4" t="s">
        <v>46</v>
      </c>
      <c r="D12" s="4" t="s">
        <v>47</v>
      </c>
      <c r="E12" s="5"/>
      <c r="F12" s="5"/>
      <c r="G12" s="5"/>
      <c r="H12" s="5"/>
      <c r="I12" s="4"/>
    </row>
    <row r="13" customFormat="false" ht="15" hidden="false" customHeight="false" outlineLevel="0" collapsed="false">
      <c r="A13" s="4" t="s">
        <v>19</v>
      </c>
      <c r="B13" s="4" t="s">
        <v>48</v>
      </c>
      <c r="C13" s="4" t="s">
        <v>49</v>
      </c>
      <c r="D13" s="4" t="s">
        <v>50</v>
      </c>
      <c r="E13" s="5"/>
      <c r="F13" s="5"/>
      <c r="G13" s="5"/>
      <c r="H13" s="5"/>
      <c r="I13" s="4"/>
    </row>
    <row r="14" customFormat="false" ht="15" hidden="false" customHeight="false" outlineLevel="0" collapsed="false">
      <c r="A14" s="4" t="s">
        <v>19</v>
      </c>
      <c r="B14" s="4" t="s">
        <v>51</v>
      </c>
      <c r="C14" s="4" t="s">
        <v>52</v>
      </c>
      <c r="D14" s="4" t="s">
        <v>39</v>
      </c>
      <c r="E14" s="5"/>
      <c r="F14" s="5"/>
      <c r="G14" s="5"/>
      <c r="H14" s="5"/>
      <c r="I14" s="4"/>
    </row>
    <row r="15" customFormat="false" ht="15" hidden="false" customHeight="false" outlineLevel="0" collapsed="false">
      <c r="A15" s="4" t="s">
        <v>19</v>
      </c>
      <c r="B15" s="4" t="s">
        <v>53</v>
      </c>
      <c r="C15" s="4" t="s">
        <v>54</v>
      </c>
      <c r="D15" s="4"/>
      <c r="E15" s="5"/>
      <c r="F15" s="5"/>
      <c r="G15" s="5"/>
      <c r="H15" s="5"/>
      <c r="I15" s="4" t="s">
        <v>55</v>
      </c>
    </row>
    <row r="16" customFormat="false" ht="15" hidden="false" customHeight="false" outlineLevel="0" collapsed="false">
      <c r="A16" s="4" t="s">
        <v>56</v>
      </c>
      <c r="B16" s="4" t="s">
        <v>57</v>
      </c>
      <c r="C16" s="4" t="s">
        <v>58</v>
      </c>
      <c r="D16" s="4" t="s">
        <v>59</v>
      </c>
      <c r="E16" s="5"/>
      <c r="F16" s="5"/>
      <c r="G16" s="5"/>
      <c r="H16" s="5"/>
      <c r="I16" s="4"/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60</v>
      </c>
      <c r="D17" s="4" t="s">
        <v>27</v>
      </c>
      <c r="E17" s="5"/>
      <c r="F17" s="5"/>
      <c r="G17" s="5"/>
      <c r="H17" s="5"/>
      <c r="I17" s="4"/>
    </row>
    <row r="18" customFormat="false" ht="15" hidden="false" customHeight="false" outlineLevel="0" collapsed="false">
      <c r="A18" s="4" t="s">
        <v>56</v>
      </c>
      <c r="B18" s="4" t="s">
        <v>61</v>
      </c>
      <c r="C18" s="4" t="s">
        <v>62</v>
      </c>
      <c r="D18" s="4" t="s">
        <v>47</v>
      </c>
      <c r="E18" s="5"/>
      <c r="F18" s="5"/>
      <c r="G18" s="5"/>
      <c r="H18" s="5"/>
      <c r="I18" s="4"/>
    </row>
    <row r="19" customFormat="false" ht="15" hidden="false" customHeight="false" outlineLevel="0" collapsed="false">
      <c r="A19" s="4" t="s">
        <v>56</v>
      </c>
      <c r="B19" s="4" t="s">
        <v>63</v>
      </c>
      <c r="C19" s="4" t="s">
        <v>64</v>
      </c>
      <c r="D19" s="4" t="s">
        <v>65</v>
      </c>
      <c r="E19" s="5"/>
      <c r="F19" s="5"/>
      <c r="G19" s="5"/>
      <c r="H19" s="5"/>
      <c r="I19" s="4"/>
    </row>
    <row r="20" customFormat="false" ht="15" hidden="false" customHeight="false" outlineLevel="0" collapsed="false">
      <c r="A20" s="4" t="s">
        <v>56</v>
      </c>
      <c r="B20" s="4" t="s">
        <v>66</v>
      </c>
      <c r="C20" s="4" t="s">
        <v>67</v>
      </c>
      <c r="D20" s="4" t="s">
        <v>65</v>
      </c>
      <c r="E20" s="5"/>
      <c r="F20" s="5"/>
      <c r="G20" s="5"/>
      <c r="H20" s="5"/>
      <c r="I20" s="4"/>
    </row>
    <row r="21" customFormat="false" ht="15" hidden="false" customHeight="false" outlineLevel="0" collapsed="false">
      <c r="A21" s="4" t="s">
        <v>56</v>
      </c>
      <c r="B21" s="4" t="s">
        <v>68</v>
      </c>
      <c r="C21" s="4" t="s">
        <v>69</v>
      </c>
      <c r="D21" s="4" t="s">
        <v>65</v>
      </c>
      <c r="E21" s="5"/>
      <c r="F21" s="5"/>
      <c r="G21" s="5"/>
      <c r="H21" s="5"/>
      <c r="I21" s="4" t="s">
        <v>70</v>
      </c>
    </row>
    <row r="22" customFormat="false" ht="15" hidden="false" customHeight="false" outlineLevel="0" collapsed="false">
      <c r="A22" s="4" t="s">
        <v>71</v>
      </c>
      <c r="B22" s="4" t="s">
        <v>72</v>
      </c>
      <c r="C22" s="4" t="s">
        <v>73</v>
      </c>
      <c r="D22" s="4"/>
      <c r="E22" s="5"/>
      <c r="F22" s="5"/>
      <c r="G22" s="5"/>
      <c r="H22" s="5"/>
      <c r="I22" s="4"/>
    </row>
    <row r="23" customFormat="false" ht="15" hidden="false" customHeight="false" outlineLevel="0" collapsed="false">
      <c r="A23" s="4" t="s">
        <v>71</v>
      </c>
      <c r="B23" s="4" t="s">
        <v>74</v>
      </c>
      <c r="C23" s="4" t="s">
        <v>75</v>
      </c>
      <c r="D23" s="4" t="s">
        <v>24</v>
      </c>
      <c r="E23" s="5"/>
      <c r="F23" s="5"/>
      <c r="G23" s="5"/>
      <c r="H23" s="5"/>
      <c r="I23" s="4"/>
    </row>
    <row r="24" customFormat="false" ht="15" hidden="false" customHeight="false" outlineLevel="0" collapsed="false">
      <c r="A24" s="4" t="s">
        <v>71</v>
      </c>
      <c r="B24" s="4" t="s">
        <v>76</v>
      </c>
      <c r="C24" s="4" t="s">
        <v>77</v>
      </c>
      <c r="D24" s="4"/>
      <c r="E24" s="5"/>
      <c r="F24" s="5"/>
      <c r="G24" s="5"/>
      <c r="H24" s="5"/>
      <c r="I24" s="4"/>
    </row>
    <row r="25" customFormat="false" ht="15" hidden="false" customHeight="false" outlineLevel="0" collapsed="false">
      <c r="A25" s="4" t="s">
        <v>71</v>
      </c>
      <c r="B25" s="4" t="s">
        <v>78</v>
      </c>
      <c r="C25" s="4" t="s">
        <v>79</v>
      </c>
      <c r="D25" s="4"/>
      <c r="E25" s="5"/>
      <c r="F25" s="5"/>
      <c r="G25" s="5"/>
      <c r="H25" s="5"/>
      <c r="I25" s="4"/>
    </row>
    <row r="26" customFormat="false" ht="15" hidden="false" customHeight="false" outlineLevel="0" collapsed="false">
      <c r="A26" s="4" t="s">
        <v>71</v>
      </c>
      <c r="B26" s="4" t="s">
        <v>80</v>
      </c>
      <c r="C26" s="4" t="s">
        <v>81</v>
      </c>
      <c r="D26" s="4" t="s">
        <v>47</v>
      </c>
      <c r="E26" s="5"/>
      <c r="F26" s="5"/>
      <c r="G26" s="5"/>
      <c r="H26" s="5"/>
      <c r="I26" s="4"/>
    </row>
    <row r="27" customFormat="false" ht="15" hidden="false" customHeight="false" outlineLevel="0" collapsed="false">
      <c r="A27" s="4" t="s">
        <v>82</v>
      </c>
      <c r="B27" s="4" t="s">
        <v>83</v>
      </c>
      <c r="C27" s="4" t="s">
        <v>84</v>
      </c>
      <c r="D27" s="4" t="s">
        <v>39</v>
      </c>
      <c r="E27" s="5"/>
      <c r="F27" s="5"/>
      <c r="G27" s="5"/>
      <c r="H27" s="5"/>
      <c r="I27" s="4"/>
    </row>
    <row r="28" customFormat="false" ht="15" hidden="false" customHeight="false" outlineLevel="0" collapsed="false">
      <c r="A28" s="4" t="s">
        <v>82</v>
      </c>
      <c r="B28" s="4" t="s">
        <v>85</v>
      </c>
      <c r="C28" s="4" t="s">
        <v>86</v>
      </c>
      <c r="D28" s="4" t="s">
        <v>39</v>
      </c>
      <c r="E28" s="5"/>
      <c r="F28" s="5"/>
      <c r="G28" s="5"/>
      <c r="H28" s="5"/>
      <c r="I28" s="4"/>
    </row>
    <row r="29" customFormat="false" ht="15" hidden="false" customHeight="false" outlineLevel="0" collapsed="false">
      <c r="A29" s="4" t="s">
        <v>82</v>
      </c>
      <c r="B29" s="4" t="s">
        <v>87</v>
      </c>
      <c r="C29" s="4" t="s">
        <v>88</v>
      </c>
      <c r="D29" s="4" t="s">
        <v>89</v>
      </c>
      <c r="E29" s="5"/>
      <c r="F29" s="5"/>
      <c r="G29" s="5"/>
      <c r="H29" s="5"/>
      <c r="I29" s="4"/>
    </row>
    <row r="30" customFormat="false" ht="15" hidden="false" customHeight="false" outlineLevel="0" collapsed="false">
      <c r="A30" s="4" t="s">
        <v>82</v>
      </c>
      <c r="B30" s="4" t="s">
        <v>90</v>
      </c>
      <c r="C30" s="4" t="s">
        <v>91</v>
      </c>
      <c r="D30" s="4" t="s">
        <v>92</v>
      </c>
      <c r="E30" s="5"/>
      <c r="F30" s="5"/>
      <c r="G30" s="5"/>
      <c r="H30" s="5"/>
      <c r="I30" s="4"/>
    </row>
    <row r="31" customFormat="false" ht="15" hidden="false" customHeight="false" outlineLevel="0" collapsed="false">
      <c r="A31" s="4" t="s">
        <v>93</v>
      </c>
      <c r="B31" s="4" t="s">
        <v>94</v>
      </c>
      <c r="C31" s="4" t="s">
        <v>95</v>
      </c>
      <c r="D31" s="4" t="s">
        <v>39</v>
      </c>
      <c r="E31" s="5"/>
      <c r="F31" s="5"/>
      <c r="G31" s="5"/>
      <c r="H31" s="5"/>
      <c r="I31" s="4" t="s">
        <v>96</v>
      </c>
    </row>
    <row r="32" customFormat="false" ht="15" hidden="false" customHeight="false" outlineLevel="0" collapsed="false">
      <c r="A32" s="4" t="s">
        <v>93</v>
      </c>
      <c r="B32" s="4" t="s">
        <v>97</v>
      </c>
      <c r="C32" s="4" t="s">
        <v>98</v>
      </c>
      <c r="D32" s="4" t="s">
        <v>99</v>
      </c>
      <c r="E32" s="5"/>
      <c r="F32" s="5"/>
      <c r="G32" s="5"/>
      <c r="H32" s="5"/>
      <c r="I32" s="4" t="s">
        <v>96</v>
      </c>
    </row>
    <row r="33" customFormat="false" ht="15" hidden="false" customHeight="false" outlineLevel="0" collapsed="false">
      <c r="A33" s="4" t="s">
        <v>93</v>
      </c>
      <c r="B33" s="4" t="s">
        <v>100</v>
      </c>
      <c r="C33" s="4" t="s">
        <v>101</v>
      </c>
      <c r="D33" s="4" t="s">
        <v>102</v>
      </c>
      <c r="E33" s="5"/>
      <c r="F33" s="5"/>
      <c r="G33" s="5"/>
      <c r="H33" s="5"/>
      <c r="I33" s="4" t="s">
        <v>96</v>
      </c>
    </row>
    <row r="34" customFormat="false" ht="15" hidden="false" customHeight="false" outlineLevel="0" collapsed="false">
      <c r="A34" s="4" t="s">
        <v>93</v>
      </c>
      <c r="B34" s="4" t="s">
        <v>103</v>
      </c>
      <c r="C34" s="4" t="s">
        <v>104</v>
      </c>
      <c r="D34" s="4"/>
      <c r="E34" s="5"/>
      <c r="F34" s="5"/>
      <c r="G34" s="5"/>
      <c r="H34" s="5"/>
      <c r="I34" s="4" t="s">
        <v>96</v>
      </c>
    </row>
    <row r="35" customFormat="false" ht="15" hidden="false" customHeight="false" outlineLevel="0" collapsed="false">
      <c r="A35" s="4" t="s">
        <v>93</v>
      </c>
      <c r="B35" s="4" t="s">
        <v>105</v>
      </c>
      <c r="C35" s="4" t="s">
        <v>106</v>
      </c>
      <c r="D35" s="4"/>
      <c r="E35" s="5"/>
      <c r="F35" s="5"/>
      <c r="G35" s="5"/>
      <c r="H35" s="5"/>
      <c r="I35" s="4" t="s">
        <v>107</v>
      </c>
    </row>
    <row r="36" customFormat="false" ht="15" hidden="false" customHeight="false" outlineLevel="0" collapsed="false">
      <c r="A36" s="4" t="s">
        <v>108</v>
      </c>
      <c r="B36" s="4" t="s">
        <v>109</v>
      </c>
      <c r="C36" s="4" t="s">
        <v>110</v>
      </c>
      <c r="D36" s="4"/>
      <c r="E36" s="5"/>
      <c r="F36" s="5"/>
      <c r="G36" s="5"/>
      <c r="H36" s="5"/>
      <c r="I36" s="4"/>
    </row>
    <row r="37" customFormat="false" ht="15" hidden="false" customHeight="false" outlineLevel="0" collapsed="false">
      <c r="A37" s="4" t="s">
        <v>108</v>
      </c>
      <c r="B37" s="4" t="s">
        <v>111</v>
      </c>
      <c r="C37" s="4" t="s">
        <v>112</v>
      </c>
      <c r="D37" s="4" t="s">
        <v>113</v>
      </c>
      <c r="E37" s="5"/>
      <c r="F37" s="5"/>
      <c r="G37" s="5"/>
      <c r="H37" s="5"/>
      <c r="I37" s="4"/>
    </row>
    <row r="38" customFormat="false" ht="23.85" hidden="false" customHeight="false" outlineLevel="0" collapsed="false">
      <c r="A38" s="4" t="s">
        <v>108</v>
      </c>
      <c r="B38" s="4" t="s">
        <v>114</v>
      </c>
      <c r="C38" s="4" t="s">
        <v>55</v>
      </c>
      <c r="D38" s="4"/>
      <c r="E38" s="5"/>
      <c r="F38" s="5"/>
      <c r="G38" s="5"/>
      <c r="H38" s="5"/>
      <c r="I38" s="4" t="s">
        <v>115</v>
      </c>
    </row>
    <row r="39" customFormat="false" ht="15" hidden="false" customHeight="false" outlineLevel="0" collapsed="false">
      <c r="A39" s="4" t="s">
        <v>108</v>
      </c>
      <c r="B39" s="4" t="s">
        <v>116</v>
      </c>
      <c r="C39" s="4" t="s">
        <v>117</v>
      </c>
      <c r="D39" s="4"/>
      <c r="E39" s="5"/>
      <c r="F39" s="5"/>
      <c r="G39" s="5"/>
      <c r="H39" s="5"/>
      <c r="I39" s="4"/>
    </row>
    <row r="40" customFormat="false" ht="15" hidden="false" customHeight="false" outlineLevel="0" collapsed="false">
      <c r="A40" s="4" t="s">
        <v>118</v>
      </c>
      <c r="B40" s="4" t="s">
        <v>119</v>
      </c>
      <c r="C40" s="4" t="s">
        <v>120</v>
      </c>
      <c r="D40" s="4" t="s">
        <v>42</v>
      </c>
      <c r="E40" s="5"/>
      <c r="F40" s="5"/>
      <c r="G40" s="5"/>
      <c r="H40" s="5"/>
      <c r="I40" s="4"/>
    </row>
    <row r="41" customFormat="false" ht="15" hidden="false" customHeight="false" outlineLevel="0" collapsed="false">
      <c r="A41" s="4" t="s">
        <v>118</v>
      </c>
      <c r="B41" s="4" t="s">
        <v>121</v>
      </c>
      <c r="C41" s="4" t="s">
        <v>122</v>
      </c>
      <c r="D41" s="4" t="s">
        <v>24</v>
      </c>
      <c r="E41" s="5"/>
      <c r="F41" s="5"/>
      <c r="G41" s="5"/>
      <c r="H41" s="5"/>
      <c r="I41" s="4"/>
    </row>
    <row r="42" customFormat="false" ht="15" hidden="false" customHeight="false" outlineLevel="0" collapsed="false">
      <c r="A42" s="4" t="s">
        <v>118</v>
      </c>
      <c r="B42" s="4" t="s">
        <v>123</v>
      </c>
      <c r="C42" s="4" t="s">
        <v>124</v>
      </c>
      <c r="D42" s="4" t="s">
        <v>125</v>
      </c>
      <c r="E42" s="5"/>
      <c r="F42" s="5"/>
      <c r="G42" s="5"/>
      <c r="H42" s="5"/>
      <c r="I42" s="4"/>
    </row>
    <row r="43" customFormat="false" ht="15" hidden="false" customHeight="false" outlineLevel="0" collapsed="false">
      <c r="A43" s="4" t="s">
        <v>118</v>
      </c>
      <c r="B43" s="4" t="s">
        <v>126</v>
      </c>
      <c r="C43" s="4" t="s">
        <v>127</v>
      </c>
      <c r="D43" s="4" t="s">
        <v>89</v>
      </c>
      <c r="E43" s="5"/>
      <c r="F43" s="5"/>
      <c r="G43" s="5"/>
      <c r="H43" s="5"/>
      <c r="I43" s="4"/>
    </row>
    <row r="44" customFormat="false" ht="15" hidden="false" customHeight="false" outlineLevel="0" collapsed="false">
      <c r="A44" s="4" t="s">
        <v>118</v>
      </c>
      <c r="B44" s="4" t="s">
        <v>128</v>
      </c>
      <c r="C44" s="4" t="s">
        <v>129</v>
      </c>
      <c r="D44" s="4" t="s">
        <v>89</v>
      </c>
      <c r="E44" s="5"/>
      <c r="F44" s="5"/>
      <c r="G44" s="5"/>
      <c r="H44" s="5"/>
      <c r="I44" s="4"/>
    </row>
    <row r="45" customFormat="false" ht="15" hidden="false" customHeight="false" outlineLevel="0" collapsed="false">
      <c r="A45" s="4" t="s">
        <v>118</v>
      </c>
      <c r="B45" s="4" t="s">
        <v>130</v>
      </c>
      <c r="C45" s="4" t="s">
        <v>131</v>
      </c>
      <c r="D45" s="4"/>
      <c r="E45" s="5"/>
      <c r="F45" s="5"/>
      <c r="G45" s="5"/>
      <c r="H45" s="5"/>
      <c r="I45" s="4"/>
    </row>
    <row r="46" customFormat="false" ht="15" hidden="false" customHeight="false" outlineLevel="0" collapsed="false">
      <c r="A46" s="4" t="s">
        <v>132</v>
      </c>
      <c r="B46" s="4" t="s">
        <v>133</v>
      </c>
      <c r="C46" s="4" t="s">
        <v>134</v>
      </c>
      <c r="D46" s="4"/>
      <c r="E46" s="5"/>
      <c r="F46" s="5"/>
      <c r="G46" s="5"/>
      <c r="H46" s="5"/>
      <c r="I46" s="4"/>
    </row>
    <row r="47" customFormat="false" ht="15" hidden="false" customHeight="false" outlineLevel="0" collapsed="false">
      <c r="A47" s="4" t="s">
        <v>132</v>
      </c>
      <c r="B47" s="4" t="s">
        <v>135</v>
      </c>
      <c r="C47" s="4" t="s">
        <v>134</v>
      </c>
      <c r="D47" s="4"/>
      <c r="E47" s="5"/>
      <c r="F47" s="5"/>
      <c r="G47" s="5"/>
      <c r="H47" s="5"/>
      <c r="I47" s="4"/>
    </row>
    <row r="48" customFormat="false" ht="15" hidden="false" customHeight="false" outlineLevel="0" collapsed="false">
      <c r="A48" s="4" t="s">
        <v>132</v>
      </c>
      <c r="B48" s="4" t="s">
        <v>136</v>
      </c>
      <c r="C48" s="4" t="s">
        <v>134</v>
      </c>
      <c r="D48" s="4"/>
      <c r="E48" s="5"/>
      <c r="F48" s="5"/>
      <c r="G48" s="5"/>
      <c r="H48" s="5"/>
      <c r="I48" s="4"/>
    </row>
    <row r="49" customFormat="false" ht="15" hidden="false" customHeight="false" outlineLevel="0" collapsed="false">
      <c r="A49" s="4" t="s">
        <v>132</v>
      </c>
      <c r="B49" s="4" t="s">
        <v>137</v>
      </c>
      <c r="C49" s="4" t="s">
        <v>134</v>
      </c>
      <c r="D49" s="4"/>
      <c r="E49" s="5"/>
      <c r="F49" s="5"/>
      <c r="G49" s="5"/>
      <c r="H49" s="5"/>
      <c r="I49" s="4"/>
    </row>
    <row r="50" customFormat="false" ht="15" hidden="false" customHeight="false" outlineLevel="0" collapsed="false">
      <c r="A50" s="4" t="s">
        <v>138</v>
      </c>
      <c r="B50" s="4" t="s">
        <v>139</v>
      </c>
      <c r="C50" s="4" t="s">
        <v>140</v>
      </c>
      <c r="D50" s="4" t="s">
        <v>47</v>
      </c>
      <c r="E50" s="5"/>
      <c r="F50" s="5"/>
      <c r="G50" s="5"/>
      <c r="H50" s="5"/>
      <c r="I50" s="4"/>
    </row>
    <row r="51" customFormat="false" ht="15" hidden="false" customHeight="false" outlineLevel="0" collapsed="false">
      <c r="A51" s="4" t="s">
        <v>138</v>
      </c>
      <c r="B51" s="4" t="s">
        <v>141</v>
      </c>
      <c r="C51" s="4" t="s">
        <v>142</v>
      </c>
      <c r="D51" s="4" t="s">
        <v>33</v>
      </c>
      <c r="E51" s="5"/>
      <c r="F51" s="5"/>
      <c r="G51" s="5"/>
      <c r="H51" s="5"/>
      <c r="I51" s="4"/>
    </row>
    <row r="52" customFormat="false" ht="15" hidden="false" customHeight="false" outlineLevel="0" collapsed="false">
      <c r="A52" s="4" t="s">
        <v>143</v>
      </c>
      <c r="B52" s="4" t="s">
        <v>144</v>
      </c>
      <c r="C52" s="4" t="s">
        <v>106</v>
      </c>
      <c r="D52" s="4"/>
      <c r="E52" s="5"/>
      <c r="F52" s="5"/>
      <c r="G52" s="5"/>
      <c r="H52" s="5"/>
      <c r="I52" s="4"/>
    </row>
    <row r="53" customFormat="false" ht="15" hidden="false" customHeight="false" outlineLevel="0" collapsed="false">
      <c r="A53" s="4" t="s">
        <v>143</v>
      </c>
      <c r="B53" s="4" t="s">
        <v>145</v>
      </c>
      <c r="C53" s="4" t="s">
        <v>106</v>
      </c>
      <c r="D53" s="4"/>
      <c r="E53" s="5"/>
      <c r="F53" s="5"/>
      <c r="G53" s="5"/>
      <c r="H53" s="5"/>
      <c r="I53" s="4"/>
    </row>
    <row r="54" customFormat="false" ht="15" hidden="false" customHeight="false" outlineLevel="0" collapsed="false">
      <c r="A54" s="4" t="s">
        <v>143</v>
      </c>
      <c r="B54" s="4" t="s">
        <v>146</v>
      </c>
      <c r="C54" s="4" t="s">
        <v>147</v>
      </c>
      <c r="D54" s="4" t="s">
        <v>50</v>
      </c>
      <c r="E54" s="5"/>
      <c r="F54" s="5"/>
      <c r="G54" s="5"/>
      <c r="H54" s="5"/>
      <c r="I54" s="4"/>
    </row>
    <row r="56" customFormat="false" ht="15" hidden="false" customHeight="false" outlineLevel="0" collapsed="false">
      <c r="A56" s="6" t="s">
        <v>148</v>
      </c>
      <c r="B56" s="7" t="n">
        <f aca="false">COUNTA(C2:C54)</f>
        <v>53</v>
      </c>
    </row>
  </sheetData>
  <autoFilter ref="A1:I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</cols>
  <sheetData>
    <row r="1" customFormat="false" ht="26.85" hidden="false" customHeight="false" outlineLevel="0" collapsed="false">
      <c r="A1" s="8" t="s">
        <v>10</v>
      </c>
      <c r="B1" s="8" t="s">
        <v>149</v>
      </c>
    </row>
    <row r="2" customFormat="false" ht="15" hidden="false" customHeight="false" outlineLevel="0" collapsed="false">
      <c r="A2" s="9" t="s">
        <v>19</v>
      </c>
      <c r="B2" s="9" t="n">
        <f aca="false">COUNTIF(Catálogo!$A$2:$A$54,A2)</f>
        <v>14</v>
      </c>
    </row>
    <row r="3" customFormat="false" ht="15" hidden="false" customHeight="false" outlineLevel="0" collapsed="false">
      <c r="A3" s="9" t="s">
        <v>56</v>
      </c>
      <c r="B3" s="9" t="n">
        <f aca="false">COUNTIF(Catálogo!$A$2:$A$54,A3)</f>
        <v>6</v>
      </c>
    </row>
    <row r="4" customFormat="false" ht="15" hidden="false" customHeight="false" outlineLevel="0" collapsed="false">
      <c r="A4" s="9" t="s">
        <v>71</v>
      </c>
      <c r="B4" s="9" t="n">
        <f aca="false">COUNTIF(Catálogo!$A$2:$A$54,A4)</f>
        <v>5</v>
      </c>
    </row>
    <row r="5" customFormat="false" ht="15" hidden="false" customHeight="false" outlineLevel="0" collapsed="false">
      <c r="A5" s="9" t="s">
        <v>82</v>
      </c>
      <c r="B5" s="9" t="n">
        <f aca="false">COUNTIF(Catálogo!$A$2:$A$54,A5)</f>
        <v>4</v>
      </c>
    </row>
    <row r="6" customFormat="false" ht="15" hidden="false" customHeight="false" outlineLevel="0" collapsed="false">
      <c r="A6" s="9" t="s">
        <v>93</v>
      </c>
      <c r="B6" s="9" t="n">
        <f aca="false">COUNTIF(Catálogo!$A$2:$A$54,A6)</f>
        <v>5</v>
      </c>
    </row>
    <row r="7" customFormat="false" ht="15" hidden="false" customHeight="false" outlineLevel="0" collapsed="false">
      <c r="A7" s="9" t="s">
        <v>108</v>
      </c>
      <c r="B7" s="9" t="n">
        <f aca="false">COUNTIF(Catálogo!$A$2:$A$54,A7)</f>
        <v>4</v>
      </c>
    </row>
    <row r="8" customFormat="false" ht="15" hidden="false" customHeight="false" outlineLevel="0" collapsed="false">
      <c r="A8" s="9" t="s">
        <v>118</v>
      </c>
      <c r="B8" s="9" t="n">
        <f aca="false">COUNTIF(Catálogo!$A$2:$A$54,A8)</f>
        <v>6</v>
      </c>
    </row>
    <row r="9" customFormat="false" ht="15" hidden="false" customHeight="false" outlineLevel="0" collapsed="false">
      <c r="A9" s="9" t="s">
        <v>132</v>
      </c>
      <c r="B9" s="9" t="n">
        <f aca="false">COUNTIF(Catálogo!$A$2:$A$54,A9)</f>
        <v>4</v>
      </c>
    </row>
    <row r="10" customFormat="false" ht="15" hidden="false" customHeight="false" outlineLevel="0" collapsed="false">
      <c r="A10" s="9" t="s">
        <v>138</v>
      </c>
      <c r="B10" s="9" t="n">
        <f aca="false">COUNTIF(Catálogo!$A$2:$A$54,A10)</f>
        <v>2</v>
      </c>
    </row>
    <row r="11" customFormat="false" ht="15" hidden="false" customHeight="false" outlineLevel="0" collapsed="false">
      <c r="A11" s="9" t="s">
        <v>143</v>
      </c>
      <c r="B11" s="9" t="n">
        <f aca="false">COUNTIF(Catálogo!$A$2:$A$54,A11)</f>
        <v>3</v>
      </c>
    </row>
    <row r="12" customFormat="false" ht="15" hidden="false" customHeight="false" outlineLevel="0" collapsed="false">
      <c r="A12" s="6" t="s">
        <v>150</v>
      </c>
      <c r="B12" s="6" t="n">
        <f aca="false">SUM(B2:B11)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2026-09-30T13:53:13Z</dcterms:created>
  <dc:creator>openpyxl</dc:creator>
  <dc:description/>
  <dc:language>en-US</dc:language>
  <cp:lastModifiedBy/>
  <dcterms:modified xsi:type="dcterms:W3CDTF">2026-09-30T13:53:13Z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